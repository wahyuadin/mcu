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wahyuadinugroho/Downloads/Data/Docker/mcu/outputs/mcu-timeline-20261010/"/>
    </mc:Choice>
  </mc:AlternateContent>
  <xr:revisionPtr revIDLastSave="0" documentId="13_ncr:1_{AAEDFC86-F746-3F4A-B38D-4A6A9C0B986F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Projec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" l="1"/>
  <c r="Y8" i="1"/>
  <c r="Y10" i="1" s="1"/>
  <c r="X8" i="1"/>
  <c r="X17" i="1" s="1"/>
  <c r="W8" i="1"/>
  <c r="W16" i="1" s="1"/>
  <c r="V8" i="1"/>
  <c r="V15" i="1" s="1"/>
  <c r="U8" i="1"/>
  <c r="U15" i="1" s="1"/>
  <c r="T8" i="1"/>
  <c r="T19" i="1" s="1"/>
  <c r="V19" i="1"/>
  <c r="Z18" i="1"/>
  <c r="Z17" i="1"/>
  <c r="V14" i="1"/>
  <c r="U14" i="1"/>
  <c r="Z11" i="1"/>
  <c r="V11" i="1"/>
  <c r="Z10" i="1"/>
  <c r="Z19" i="1"/>
  <c r="Y18" i="1"/>
  <c r="W5" i="1"/>
  <c r="S5" i="1"/>
  <c r="S8" i="1"/>
  <c r="S14" i="1" s="1"/>
  <c r="S12" i="1"/>
  <c r="S11" i="1"/>
  <c r="I19" i="1"/>
  <c r="I18" i="1"/>
  <c r="P17" i="1"/>
  <c r="I17" i="1"/>
  <c r="P16" i="1"/>
  <c r="I16" i="1"/>
  <c r="P15" i="1"/>
  <c r="O15" i="1"/>
  <c r="N15" i="1"/>
  <c r="I15" i="1"/>
  <c r="R8" i="1"/>
  <c r="R16" i="1" s="1"/>
  <c r="Q8" i="1"/>
  <c r="Q18" i="1" s="1"/>
  <c r="P8" i="1"/>
  <c r="P18" i="1" s="1"/>
  <c r="O8" i="1"/>
  <c r="O16" i="1" s="1"/>
  <c r="N8" i="1"/>
  <c r="M8" i="1"/>
  <c r="L8" i="1"/>
  <c r="G9" i="1"/>
  <c r="X9" i="1" s="1"/>
  <c r="K8" i="1"/>
  <c r="O5" i="1"/>
  <c r="K5" i="1"/>
  <c r="Q16" i="1" l="1"/>
  <c r="T9" i="1"/>
  <c r="T12" i="1"/>
  <c r="T15" i="1"/>
  <c r="T17" i="1"/>
  <c r="V9" i="1"/>
  <c r="U12" i="1"/>
  <c r="Q17" i="1"/>
  <c r="T10" i="1"/>
  <c r="T13" i="1"/>
  <c r="Q15" i="1"/>
  <c r="V16" i="1"/>
  <c r="U13" i="1"/>
  <c r="T18" i="1"/>
  <c r="V12" i="1"/>
  <c r="V17" i="1"/>
  <c r="T14" i="1"/>
  <c r="S19" i="1"/>
  <c r="T11" i="1"/>
  <c r="V13" i="1"/>
  <c r="Z9" i="1"/>
  <c r="Y17" i="1"/>
  <c r="Y9" i="1"/>
  <c r="X15" i="1"/>
  <c r="W13" i="1"/>
  <c r="X14" i="1"/>
  <c r="Y15" i="1"/>
  <c r="Z16" i="1"/>
  <c r="U19" i="1"/>
  <c r="W15" i="1"/>
  <c r="X16" i="1"/>
  <c r="W14" i="1"/>
  <c r="Y16" i="1"/>
  <c r="U10" i="1"/>
  <c r="W12" i="1"/>
  <c r="Y14" i="1"/>
  <c r="Z15" i="1"/>
  <c r="U11" i="1"/>
  <c r="X13" i="1"/>
  <c r="U18" i="1"/>
  <c r="U9" i="1"/>
  <c r="V10" i="1"/>
  <c r="W11" i="1"/>
  <c r="X12" i="1"/>
  <c r="Y13" i="1"/>
  <c r="Z14" i="1"/>
  <c r="T16" i="1"/>
  <c r="U17" i="1"/>
  <c r="V18" i="1"/>
  <c r="W19" i="1"/>
  <c r="U16" i="1"/>
  <c r="W10" i="1"/>
  <c r="X11" i="1"/>
  <c r="Y12" i="1"/>
  <c r="Z13" i="1"/>
  <c r="W18" i="1"/>
  <c r="X19" i="1"/>
  <c r="W9" i="1"/>
  <c r="X10" i="1"/>
  <c r="Y11" i="1"/>
  <c r="Z12" i="1"/>
  <c r="W17" i="1"/>
  <c r="X18" i="1"/>
  <c r="Y19" i="1"/>
  <c r="S13" i="1"/>
  <c r="R18" i="1"/>
  <c r="R17" i="1"/>
  <c r="R15" i="1"/>
  <c r="R19" i="1"/>
  <c r="S15" i="1"/>
  <c r="S16" i="1"/>
  <c r="S9" i="1"/>
  <c r="S17" i="1"/>
  <c r="S10" i="1"/>
  <c r="S18" i="1"/>
  <c r="I10" i="1"/>
  <c r="M10" i="1"/>
  <c r="P14" i="1"/>
  <c r="Q14" i="1"/>
  <c r="R13" i="1"/>
  <c r="N11" i="1"/>
  <c r="N10" i="1"/>
  <c r="O13" i="1"/>
  <c r="R9" i="1"/>
  <c r="O10" i="1"/>
  <c r="Q13" i="1"/>
  <c r="I11" i="1"/>
  <c r="M11" i="1"/>
  <c r="O11" i="1"/>
  <c r="O14" i="1"/>
  <c r="P9" i="1"/>
  <c r="P10" i="1"/>
  <c r="O9" i="1"/>
  <c r="I12" i="1"/>
  <c r="I9" i="1"/>
  <c r="R14" i="1"/>
  <c r="I13" i="1"/>
  <c r="L9" i="1"/>
  <c r="N12" i="1"/>
  <c r="M13" i="1"/>
  <c r="I14" i="1"/>
  <c r="Q10" i="1"/>
  <c r="Q11" i="1"/>
  <c r="K9" i="1"/>
  <c r="R10" i="1"/>
  <c r="M9" i="1"/>
  <c r="P11" i="1"/>
  <c r="O12" i="1"/>
  <c r="N13" i="1"/>
  <c r="M14" i="1"/>
  <c r="N9" i="1"/>
  <c r="P12" i="1"/>
  <c r="N14" i="1"/>
  <c r="R11" i="1"/>
  <c r="R12" i="1"/>
  <c r="M12" i="1"/>
  <c r="Q9" i="1"/>
  <c r="Q12" i="1"/>
  <c r="P13" i="1"/>
</calcChain>
</file>

<file path=xl/sharedStrings.xml><?xml version="1.0" encoding="utf-8"?>
<sst xmlns="http://schemas.openxmlformats.org/spreadsheetml/2006/main" count="115" uniqueCount="58">
  <si>
    <t>PROJECT PROFILE</t>
  </si>
  <si>
    <t>Aurora Launch</t>
  </si>
  <si>
    <t>Jordan Lee</t>
  </si>
  <si>
    <t>TOTAL TASKS</t>
  </si>
  <si>
    <t>COMPLETE</t>
  </si>
  <si>
    <t>IN PROGRESS</t>
  </si>
  <si>
    <t>AT RISK</t>
  </si>
  <si>
    <t>Northstar Labs</t>
  </si>
  <si>
    <t>WORKSTREAM PLAN</t>
  </si>
  <si>
    <t>GANTT — 20-WEEK VIEW</t>
  </si>
  <si>
    <t>Judul</t>
  </si>
  <si>
    <t>Koordinator</t>
  </si>
  <si>
    <t>SELESAI</t>
  </si>
  <si>
    <t>BERJALAN</t>
  </si>
  <si>
    <t>Aplikasi</t>
  </si>
  <si>
    <t>Medical Check-Up</t>
  </si>
  <si>
    <t>Modul</t>
  </si>
  <si>
    <t>Status belajar</t>
  </si>
  <si>
    <t>Mulai</t>
  </si>
  <si>
    <t>Selesai</t>
  </si>
  <si>
    <t>Hari</t>
  </si>
  <si>
    <t>Login, hak akses, dan dashboard</t>
  </si>
  <si>
    <t>Belum mulai</t>
  </si>
  <si>
    <t>Data perusahaan, dokter, jadwal, dan paket MCU</t>
  </si>
  <si>
    <t>3. Pendaftaran</t>
  </si>
  <si>
    <t>Data pasien, foto, dan checkpoint QR</t>
  </si>
  <si>
    <t>4. Pemeriksaan</t>
  </si>
  <si>
    <t>Riwayat kesehatan, fisik, laboratorium, dan penunjang</t>
  </si>
  <si>
    <t>5. Hasil MCU</t>
  </si>
  <si>
    <t>Kesimpulan, finalisasi, dan revisi hasil</t>
  </si>
  <si>
    <t>6. Pelaporan</t>
  </si>
  <si>
    <t>Laporan, riwayat versi, penutupan, dan audit</t>
  </si>
  <si>
    <t>Wahyuadin</t>
  </si>
  <si>
    <t>Item</t>
  </si>
  <si>
    <t>MODUL</t>
  </si>
  <si>
    <t>Approve By</t>
  </si>
  <si>
    <t>Pak Agung</t>
  </si>
  <si>
    <t>Catatan</t>
  </si>
  <si>
    <t>-</t>
  </si>
  <si>
    <t>Web Base</t>
  </si>
  <si>
    <t>TOTAL MODUL</t>
  </si>
  <si>
    <t>TIMELINE</t>
  </si>
  <si>
    <t>1. Authentifikasi</t>
  </si>
  <si>
    <t>2. Master</t>
  </si>
  <si>
    <t>Berjalan</t>
  </si>
  <si>
    <t>7. Role HRD</t>
  </si>
  <si>
    <t>8. Report HRD</t>
  </si>
  <si>
    <t>9. Role Petugas</t>
  </si>
  <si>
    <t>Penyusunan Dashboard dan rekapitulasi peserta per masing masing perusahaan</t>
  </si>
  <si>
    <t>Laporan Rekap Resume, dan Rekap hasil</t>
  </si>
  <si>
    <t>Implementasi QR peserta dan testing</t>
  </si>
  <si>
    <t>10. Sandbox Mode</t>
  </si>
  <si>
    <t>Review dan Trial dan Error</t>
  </si>
  <si>
    <t>11. Production</t>
  </si>
  <si>
    <t>Upload ke server Production</t>
  </si>
  <si>
    <t>BELUM MULAI</t>
  </si>
  <si>
    <t>DATE SCHEDULE PLANT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</si>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</sst>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d\,\ yyyy"/>
    <numFmt numFmtId="165" formatCode="#,##0;[Red]\(#,##0\);\-"/>
    <numFmt numFmtId="167" formatCode=";;;"/>
    <numFmt numFmtId="168" formatCode="dd\ mmm\ yy"/>
    <numFmt numFmtId="169" formatCode="dd\ mmm"/>
  </numFmts>
  <fonts count="13" x14ac:knownFonts="1">
    <font>
      <sz val="11"/>
      <name val="Arial"/>
    </font>
    <font>
      <b/>
      <sz val="10"/>
      <color rgb="FF3F3296"/>
      <name val="Arial"/>
      <family val="2"/>
    </font>
    <font>
      <b/>
      <sz val="9"/>
      <color rgb="FF3F3296"/>
      <name val="Arial"/>
      <family val="2"/>
    </font>
    <font>
      <b/>
      <sz val="8"/>
      <color rgb="FFFFFFFF"/>
      <name val="Arial"/>
      <family val="2"/>
    </font>
    <font>
      <b/>
      <sz val="18"/>
      <color rgb="FF3F3296"/>
      <name val="Arial"/>
      <family val="2"/>
    </font>
    <font>
      <b/>
      <sz val="18"/>
      <color rgb="FF087E5D"/>
      <name val="Arial"/>
      <family val="2"/>
    </font>
    <font>
      <b/>
      <sz val="18"/>
      <color rgb="FF3258CD"/>
      <name val="Arial"/>
      <family val="2"/>
    </font>
    <font>
      <b/>
      <sz val="18"/>
      <color rgb="FFC23647"/>
      <name val="Arial"/>
      <family val="2"/>
    </font>
    <font>
      <b/>
      <sz val="9"/>
      <color rgb="FFFFFFFF"/>
      <name val="Arial"/>
      <family val="2"/>
    </font>
    <font>
      <sz val="9"/>
      <color rgb="FF17212B"/>
      <name val="Arial"/>
      <family val="2"/>
    </font>
    <font>
      <sz val="11"/>
      <name val="Arial"/>
      <family val="2"/>
    </font>
    <font>
      <sz val="9"/>
      <color rgb="FF0432FF"/>
      <name val="Arial"/>
      <family val="2"/>
    </font>
    <font>
      <sz val="9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F3296"/>
      </patternFill>
    </fill>
    <fill>
      <patternFill patternType="solid">
        <fgColor rgb="FFF2ED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5E4CC7"/>
      </patternFill>
    </fill>
    <fill>
      <patternFill patternType="solid">
        <fgColor rgb="FFFAF8FF"/>
      </patternFill>
    </fill>
    <fill>
      <patternFill patternType="solid">
        <fgColor rgb="FFFFF2CC"/>
      </patternFill>
    </fill>
    <fill>
      <patternFill patternType="solid">
        <fgColor rgb="FFFAF8FF"/>
        <bgColor rgb="FF000000"/>
      </patternFill>
    </fill>
  </fills>
  <borders count="10">
    <border>
      <left/>
      <right/>
      <top/>
      <bottom/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  <diagonal/>
    </border>
    <border>
      <left style="thin">
        <color rgb="FFECE8FA"/>
      </left>
      <right/>
      <top style="thin">
        <color rgb="FFECE8FA"/>
      </top>
      <bottom style="thin">
        <color rgb="FFECE8FA"/>
      </bottom>
      <diagonal/>
    </border>
    <border>
      <left/>
      <right/>
      <top style="thin">
        <color rgb="FFECE8FA"/>
      </top>
      <bottom style="thin">
        <color rgb="FFECE8FA"/>
      </bottom>
      <diagonal/>
    </border>
    <border>
      <left/>
      <right style="thin">
        <color rgb="FFECE8FA"/>
      </right>
      <top style="thin">
        <color rgb="FFECE8FA"/>
      </top>
      <bottom style="thin">
        <color rgb="FFECE8FA"/>
      </bottom>
      <diagonal/>
    </border>
    <border>
      <left/>
      <right/>
      <top/>
      <bottom style="thin">
        <color rgb="FFECE8FA"/>
      </bottom>
      <diagonal/>
    </border>
    <border>
      <left style="thin">
        <color rgb="FFD6C26E"/>
      </left>
      <right/>
      <top style="thin">
        <color rgb="FFD9E0E6"/>
      </top>
      <bottom style="thin">
        <color rgb="FFD9E0E6"/>
      </bottom>
      <diagonal/>
    </border>
    <border>
      <left/>
      <right style="thin">
        <color rgb="FFD6C26E"/>
      </right>
      <top style="thin">
        <color rgb="FFD9E0E6"/>
      </top>
      <bottom style="thin">
        <color rgb="FFD9E0E6"/>
      </bottom>
      <diagonal/>
    </border>
    <border>
      <left/>
      <right style="thin">
        <color rgb="FFD9E0E6"/>
      </right>
      <top style="thin">
        <color rgb="FFD9E0E6"/>
      </top>
      <bottom style="thin">
        <color rgb="FFD9E0E6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left" vertical="center"/>
    </xf>
    <xf numFmtId="167" fontId="9" fillId="7" borderId="1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168" fontId="11" fillId="7" borderId="1" xfId="0" applyNumberFormat="1" applyFont="1" applyFill="1" applyBorder="1" applyAlignment="1">
      <alignment horizontal="center" vertical="center"/>
    </xf>
    <xf numFmtId="169" fontId="8" fillId="6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165" fontId="6" fillId="3" borderId="3" xfId="0" applyNumberFormat="1" applyFont="1" applyFill="1" applyBorder="1" applyAlignment="1">
      <alignment horizontal="center" vertical="center"/>
    </xf>
    <xf numFmtId="165" fontId="6" fillId="3" borderId="4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7" fillId="3" borderId="3" xfId="0" applyNumberFormat="1" applyFont="1" applyFill="1" applyBorder="1" applyAlignment="1">
      <alignment horizontal="center" vertical="center"/>
    </xf>
    <xf numFmtId="165" fontId="7" fillId="3" borderId="4" xfId="0" applyNumberFormat="1" applyFont="1" applyFill="1" applyBorder="1" applyAlignment="1">
      <alignment horizontal="center" vertical="center"/>
    </xf>
    <xf numFmtId="165" fontId="7" fillId="3" borderId="5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168" fontId="11" fillId="5" borderId="2" xfId="0" applyNumberFormat="1" applyFont="1" applyFill="1" applyBorder="1" applyAlignment="1">
      <alignment horizontal="left" vertical="center"/>
    </xf>
    <xf numFmtId="164" fontId="11" fillId="5" borderId="2" xfId="0" applyNumberFormat="1" applyFont="1" applyFill="1" applyBorder="1" applyAlignment="1">
      <alignment horizontal="left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left" vertical="center"/>
    </xf>
    <xf numFmtId="169" fontId="12" fillId="6" borderId="1" xfId="0" applyNumberFormat="1" applyFont="1" applyFill="1" applyBorder="1" applyAlignment="1">
      <alignment horizontal="center" vertical="center" wrapText="1"/>
    </xf>
    <xf numFmtId="168" fontId="11" fillId="9" borderId="1" xfId="0" applyNumberFormat="1" applyFont="1" applyFill="1" applyBorder="1" applyAlignment="1">
      <alignment horizontal="center" vertical="center"/>
    </xf>
    <xf numFmtId="168" fontId="11" fillId="9" borderId="9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F59E0B"/>
        </patternFill>
      </fill>
    </dxf>
    <dxf>
      <fill>
        <patternFill>
          <bgColor rgb="FF00B894"/>
        </patternFill>
      </fill>
    </dxf>
    <dxf>
      <fill>
        <patternFill>
          <bgColor rgb="FF5271FF"/>
        </patternFill>
      </fill>
    </dxf>
    <dxf>
      <fill>
        <patternFill>
          <bgColor rgb="FFA78BFA"/>
        </patternFill>
      </fill>
    </dxf>
    <dxf>
      <font>
        <color rgb="FF7745C3"/>
      </font>
      <fill>
        <patternFill>
          <bgColor rgb="FFF1E9FF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C23647"/>
      </font>
      <fill>
        <patternFill>
          <bgColor rgb="FFFFE3EA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DDEBF7"/>
        </patternFill>
      </fill>
    </dxf>
    <dxf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73"/>
  <sheetViews>
    <sheetView showGridLines="0" tabSelected="1" zoomScale="117" workbookViewId="0">
      <selection activeCell="H5" sqref="H5:I5"/>
    </sheetView>
  </sheetViews>
  <sheetFormatPr baseColWidth="10" defaultColWidth="8.83203125" defaultRowHeight="14" x14ac:dyDescent="0.15"/>
  <cols>
    <col min="1" max="1" width="3.33203125" style="7" customWidth="1"/>
    <col min="2" max="2" width="19" style="7" customWidth="1"/>
    <col min="3" max="3" width="39" style="7" customWidth="1"/>
    <col min="4" max="4" width="18" style="7" customWidth="1"/>
    <col min="5" max="5" width="15" style="7" customWidth="1"/>
    <col min="6" max="6" width="10" style="7" customWidth="1"/>
    <col min="7" max="8" width="13" style="7" customWidth="1"/>
    <col min="9" max="9" width="10" style="7" customWidth="1"/>
    <col min="10" max="10" width="3" style="7" customWidth="1"/>
    <col min="11" max="26" width="10" style="7" customWidth="1"/>
    <col min="27" max="16384" width="8.83203125" style="7"/>
  </cols>
  <sheetData>
    <row r="2" spans="2:26" x14ac:dyDescent="0.1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2:26" ht="22" customHeight="1" x14ac:dyDescent="0.15">
      <c r="B3" s="16" t="s">
        <v>57</v>
      </c>
      <c r="C3" s="16" t="s">
        <v>0</v>
      </c>
      <c r="D3" s="16" t="s">
        <v>0</v>
      </c>
      <c r="E3" s="16" t="s">
        <v>0</v>
      </c>
      <c r="F3" s="16" t="s">
        <v>0</v>
      </c>
      <c r="G3" s="16" t="s">
        <v>0</v>
      </c>
      <c r="H3" s="16" t="s">
        <v>0</v>
      </c>
      <c r="I3" s="16" t="s">
        <v>0</v>
      </c>
      <c r="J3" s="8"/>
      <c r="K3" s="41" t="s">
        <v>41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2:26" ht="22" customHeight="1" x14ac:dyDescent="0.15">
      <c r="B4" s="9" t="s">
        <v>10</v>
      </c>
      <c r="C4" s="37" t="s">
        <v>15</v>
      </c>
      <c r="D4" s="37" t="s">
        <v>1</v>
      </c>
      <c r="E4" s="37" t="s">
        <v>1</v>
      </c>
      <c r="F4" s="35" t="s">
        <v>11</v>
      </c>
      <c r="G4" s="36"/>
      <c r="H4" s="26" t="s">
        <v>32</v>
      </c>
      <c r="I4" s="26" t="s">
        <v>2</v>
      </c>
      <c r="J4" s="8"/>
      <c r="K4" s="20" t="s">
        <v>40</v>
      </c>
      <c r="L4" s="21" t="s">
        <v>3</v>
      </c>
      <c r="M4" s="21" t="s">
        <v>3</v>
      </c>
      <c r="N4" s="22" t="s">
        <v>3</v>
      </c>
      <c r="O4" s="20" t="s">
        <v>12</v>
      </c>
      <c r="P4" s="21" t="s">
        <v>4</v>
      </c>
      <c r="Q4" s="21" t="s">
        <v>4</v>
      </c>
      <c r="R4" s="22" t="s">
        <v>4</v>
      </c>
      <c r="S4" s="20" t="s">
        <v>13</v>
      </c>
      <c r="T4" s="21" t="s">
        <v>5</v>
      </c>
      <c r="U4" s="21" t="s">
        <v>5</v>
      </c>
      <c r="V4" s="22" t="s">
        <v>5</v>
      </c>
      <c r="W4" s="20" t="s">
        <v>55</v>
      </c>
      <c r="X4" s="21" t="s">
        <v>6</v>
      </c>
      <c r="Y4" s="21" t="s">
        <v>6</v>
      </c>
      <c r="Z4" s="22" t="s">
        <v>6</v>
      </c>
    </row>
    <row r="5" spans="2:26" ht="22" customHeight="1" x14ac:dyDescent="0.15">
      <c r="B5" s="9" t="s">
        <v>14</v>
      </c>
      <c r="C5" s="26" t="s">
        <v>39</v>
      </c>
      <c r="D5" s="26" t="s">
        <v>7</v>
      </c>
      <c r="E5" s="26" t="s">
        <v>7</v>
      </c>
      <c r="F5" s="35" t="s">
        <v>18</v>
      </c>
      <c r="G5" s="36"/>
      <c r="H5" s="27">
        <v>46302</v>
      </c>
      <c r="I5" s="28">
        <v>46209</v>
      </c>
      <c r="J5" s="8"/>
      <c r="K5" s="29">
        <f>COUNTA(C9:C14)</f>
        <v>6</v>
      </c>
      <c r="L5" s="30"/>
      <c r="M5" s="30"/>
      <c r="N5" s="31"/>
      <c r="O5" s="32">
        <f>COUNTIF(E9:E14,"Selesai")</f>
        <v>3</v>
      </c>
      <c r="P5" s="33"/>
      <c r="Q5" s="33"/>
      <c r="R5" s="34"/>
      <c r="S5" s="17">
        <f>COUNTIF(E9:E19,"Berjalan")</f>
        <v>3</v>
      </c>
      <c r="T5" s="18"/>
      <c r="U5" s="18"/>
      <c r="V5" s="19"/>
      <c r="W5" s="23">
        <f>COUNTIF(E9:E19,"Belum mulai")</f>
        <v>5</v>
      </c>
      <c r="X5" s="24"/>
      <c r="Y5" s="24"/>
      <c r="Z5" s="25"/>
    </row>
    <row r="6" spans="2:26" x14ac:dyDescent="0.1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2:26" ht="22" customHeight="1" x14ac:dyDescent="0.15">
      <c r="B7" s="16" t="s">
        <v>34</v>
      </c>
      <c r="C7" s="16" t="s">
        <v>8</v>
      </c>
      <c r="D7" s="16" t="s">
        <v>8</v>
      </c>
      <c r="E7" s="16" t="s">
        <v>8</v>
      </c>
      <c r="F7" s="16" t="s">
        <v>8</v>
      </c>
      <c r="G7" s="16" t="s">
        <v>8</v>
      </c>
      <c r="H7" s="16" t="s">
        <v>8</v>
      </c>
      <c r="I7" s="16" t="s">
        <v>8</v>
      </c>
      <c r="J7" s="8"/>
      <c r="K7" s="16" t="s">
        <v>56</v>
      </c>
      <c r="L7" s="16" t="s">
        <v>9</v>
      </c>
      <c r="M7" s="16" t="s">
        <v>9</v>
      </c>
      <c r="N7" s="16" t="s">
        <v>9</v>
      </c>
      <c r="O7" s="16" t="s">
        <v>9</v>
      </c>
      <c r="P7" s="16" t="s">
        <v>9</v>
      </c>
      <c r="Q7" s="16" t="s">
        <v>9</v>
      </c>
      <c r="R7" s="16" t="s">
        <v>9</v>
      </c>
      <c r="S7" s="16" t="s">
        <v>9</v>
      </c>
      <c r="T7" s="16" t="s">
        <v>9</v>
      </c>
      <c r="U7" s="16" t="s">
        <v>9</v>
      </c>
      <c r="V7" s="16" t="s">
        <v>9</v>
      </c>
      <c r="W7" s="16" t="s">
        <v>9</v>
      </c>
      <c r="X7" s="16" t="s">
        <v>9</v>
      </c>
      <c r="Y7" s="16" t="s">
        <v>9</v>
      </c>
      <c r="Z7" s="16" t="s">
        <v>9</v>
      </c>
    </row>
    <row r="8" spans="2:26" ht="28" customHeight="1" x14ac:dyDescent="0.15">
      <c r="B8" s="1" t="s">
        <v>16</v>
      </c>
      <c r="C8" s="1" t="s">
        <v>33</v>
      </c>
      <c r="D8" s="1" t="s">
        <v>35</v>
      </c>
      <c r="E8" s="1" t="s">
        <v>17</v>
      </c>
      <c r="F8" s="1" t="s">
        <v>37</v>
      </c>
      <c r="G8" s="1" t="s">
        <v>18</v>
      </c>
      <c r="H8" s="1" t="s">
        <v>19</v>
      </c>
      <c r="I8" s="1" t="s">
        <v>20</v>
      </c>
      <c r="J8" s="8"/>
      <c r="K8" s="11">
        <f>$H$5+0</f>
        <v>46302</v>
      </c>
      <c r="L8" s="11">
        <f>$H$5+1</f>
        <v>46303</v>
      </c>
      <c r="M8" s="11">
        <f>$H$5+2</f>
        <v>46304</v>
      </c>
      <c r="N8" s="11">
        <f>$H$5+3</f>
        <v>46305</v>
      </c>
      <c r="O8" s="11">
        <f>$H$5+4</f>
        <v>46306</v>
      </c>
      <c r="P8" s="38">
        <f>$H$5+5</f>
        <v>46307</v>
      </c>
      <c r="Q8" s="11">
        <f>$H$5+6</f>
        <v>46308</v>
      </c>
      <c r="R8" s="11">
        <f>$H$5+7</f>
        <v>46309</v>
      </c>
      <c r="S8" s="11">
        <f>$H$5+8</f>
        <v>46310</v>
      </c>
      <c r="T8" s="11">
        <f>$H$5+9</f>
        <v>46311</v>
      </c>
      <c r="U8" s="11">
        <f>$H$5+10</f>
        <v>46312</v>
      </c>
      <c r="V8" s="11">
        <f>$H$5+11</f>
        <v>46313</v>
      </c>
      <c r="W8" s="11">
        <f>$H$5+12</f>
        <v>46314</v>
      </c>
      <c r="X8" s="11">
        <f>$H$5+13</f>
        <v>46315</v>
      </c>
      <c r="Y8" s="11">
        <f>$H$5+14</f>
        <v>46316</v>
      </c>
      <c r="Z8" s="11">
        <f>$H$5+25</f>
        <v>46327</v>
      </c>
    </row>
    <row r="9" spans="2:26" ht="44" customHeight="1" x14ac:dyDescent="0.15">
      <c r="B9" s="14" t="s">
        <v>42</v>
      </c>
      <c r="C9" s="12" t="s">
        <v>21</v>
      </c>
      <c r="D9" s="2" t="s">
        <v>36</v>
      </c>
      <c r="E9" s="2" t="s">
        <v>19</v>
      </c>
      <c r="F9" s="2" t="s">
        <v>38</v>
      </c>
      <c r="G9" s="10">
        <f>$H$5+0</f>
        <v>46302</v>
      </c>
      <c r="H9" s="10">
        <v>46303</v>
      </c>
      <c r="I9" s="4">
        <f t="shared" ref="I9:I38" si="0">H9-G9+1</f>
        <v>2</v>
      </c>
      <c r="J9" s="8"/>
      <c r="K9" s="5">
        <f>IF(AND(K$8&lt;=$H9,K$8+6&gt;=$G9),1,"")</f>
        <v>1</v>
      </c>
      <c r="L9" s="6">
        <f>IF(AND(L$8&lt;=$H9,L$8+6&gt;=$G9),1,"")</f>
        <v>1</v>
      </c>
      <c r="M9" s="5" t="str">
        <f>IF(AND(M$8&lt;=$H9,M$8+6&gt;=$G9),1,"")</f>
        <v/>
      </c>
      <c r="N9" s="6" t="str">
        <f>IF(AND(N$8&lt;=$H9,N$8+6&gt;=$G9),1,"")</f>
        <v/>
      </c>
      <c r="O9" s="5" t="str">
        <f>IF(AND(O$8&lt;=$H9,O$8+6&gt;=$G9),1,"")</f>
        <v/>
      </c>
      <c r="P9" s="6" t="str">
        <f>IF(AND(P$8&lt;=$H9,P$8+6&gt;=$G9),1,"")</f>
        <v/>
      </c>
      <c r="Q9" s="5" t="str">
        <f>IF(AND(Q$8&lt;=$H9,Q$8+6&gt;=$G9),1,"")</f>
        <v/>
      </c>
      <c r="R9" s="6" t="str">
        <f>IF(AND(R$8&lt;=$H9,R$8+6&gt;=$G9),1,"")</f>
        <v/>
      </c>
      <c r="S9" s="6" t="str">
        <f>IF(AND(S$8&lt;=$H9,S$8+6&gt;=$G9),1,"")</f>
        <v/>
      </c>
      <c r="T9" s="6" t="str">
        <f t="shared" ref="T9:Z14" si="1">IF(AND(T$8&lt;=$H9,T$8+6&gt;=$G9),1,"")</f>
        <v/>
      </c>
      <c r="U9" s="6" t="str">
        <f t="shared" si="1"/>
        <v/>
      </c>
      <c r="V9" s="6" t="str">
        <f t="shared" si="1"/>
        <v/>
      </c>
      <c r="W9" s="6" t="str">
        <f t="shared" si="1"/>
        <v/>
      </c>
      <c r="X9" s="6" t="str">
        <f t="shared" si="1"/>
        <v/>
      </c>
      <c r="Y9" s="6" t="str">
        <f t="shared" si="1"/>
        <v/>
      </c>
      <c r="Z9" s="6" t="str">
        <f t="shared" si="1"/>
        <v/>
      </c>
    </row>
    <row r="10" spans="2:26" ht="44" customHeight="1" x14ac:dyDescent="0.15">
      <c r="B10" s="15" t="s">
        <v>43</v>
      </c>
      <c r="C10" s="13" t="s">
        <v>23</v>
      </c>
      <c r="D10" s="3" t="s">
        <v>36</v>
      </c>
      <c r="E10" s="3" t="s">
        <v>19</v>
      </c>
      <c r="F10" s="3" t="s">
        <v>38</v>
      </c>
      <c r="G10" s="10">
        <v>46304</v>
      </c>
      <c r="H10" s="10">
        <v>46304</v>
      </c>
      <c r="I10" s="4">
        <f t="shared" si="0"/>
        <v>1</v>
      </c>
      <c r="J10" s="8"/>
      <c r="K10" s="5"/>
      <c r="L10" s="6"/>
      <c r="M10" s="5">
        <f>IF(AND(M$8&lt;=$H10,M$8+6&gt;=$G10),1,"")</f>
        <v>1</v>
      </c>
      <c r="N10" s="6" t="str">
        <f>IF(AND(N$8&lt;=$H10,N$8+6&gt;=$G10),1,"")</f>
        <v/>
      </c>
      <c r="O10" s="5" t="str">
        <f>IF(AND(O$8&lt;=$H10,O$8+6&gt;=$G10),1,"")</f>
        <v/>
      </c>
      <c r="P10" s="6" t="str">
        <f>IF(AND(P$8&lt;=$H10,P$8+6&gt;=$G10),1,"")</f>
        <v/>
      </c>
      <c r="Q10" s="5" t="str">
        <f>IF(AND(Q$8&lt;=$H10,Q$8+6&gt;=$G10),1,"")</f>
        <v/>
      </c>
      <c r="R10" s="6" t="str">
        <f>IF(AND(R$8&lt;=$H10,R$8+6&gt;=$G10),1,"")</f>
        <v/>
      </c>
      <c r="S10" s="6" t="str">
        <f>IF(AND(S$8&lt;=$H10,S$8+6&gt;=$G10),1,"")</f>
        <v/>
      </c>
      <c r="T10" s="6" t="str">
        <f t="shared" si="1"/>
        <v/>
      </c>
      <c r="U10" s="6" t="str">
        <f t="shared" si="1"/>
        <v/>
      </c>
      <c r="V10" s="6" t="str">
        <f t="shared" si="1"/>
        <v/>
      </c>
      <c r="W10" s="6" t="str">
        <f t="shared" si="1"/>
        <v/>
      </c>
      <c r="X10" s="6" t="str">
        <f t="shared" si="1"/>
        <v/>
      </c>
      <c r="Y10" s="6" t="str">
        <f t="shared" si="1"/>
        <v/>
      </c>
      <c r="Z10" s="6" t="str">
        <f t="shared" si="1"/>
        <v/>
      </c>
    </row>
    <row r="11" spans="2:26" ht="44" customHeight="1" x14ac:dyDescent="0.15">
      <c r="B11" s="14" t="s">
        <v>24</v>
      </c>
      <c r="C11" s="12" t="s">
        <v>25</v>
      </c>
      <c r="D11" s="2" t="s">
        <v>36</v>
      </c>
      <c r="E11" s="2" t="s">
        <v>19</v>
      </c>
      <c r="F11" s="2"/>
      <c r="G11" s="39">
        <v>46304</v>
      </c>
      <c r="H11" s="40">
        <v>46304</v>
      </c>
      <c r="I11" s="4">
        <f t="shared" si="0"/>
        <v>1</v>
      </c>
      <c r="J11" s="8"/>
      <c r="K11" s="5"/>
      <c r="L11" s="6"/>
      <c r="M11" s="5">
        <f>IF(AND(M$8&lt;=$H11,M$8+6&gt;=$G11),1,"")</f>
        <v>1</v>
      </c>
      <c r="N11" s="6" t="str">
        <f>IF(AND(N$8&lt;=$H11,N$8+6&gt;=$G11),1,"")</f>
        <v/>
      </c>
      <c r="O11" s="5" t="str">
        <f>IF(AND(O$8&lt;=$H11,O$8+6&gt;=$G11),1,"")</f>
        <v/>
      </c>
      <c r="P11" s="6" t="str">
        <f>IF(AND(P$8&lt;=$H11,P$8+6&gt;=$G11),1,"")</f>
        <v/>
      </c>
      <c r="Q11" s="5" t="str">
        <f>IF(AND(Q$8&lt;=$H11,Q$8+6&gt;=$G11),1,"")</f>
        <v/>
      </c>
      <c r="R11" s="6" t="str">
        <f>IF(AND(R$8&lt;=$H11,R$8+6&gt;=$G11),1,"")</f>
        <v/>
      </c>
      <c r="S11" s="6" t="str">
        <f>IF(AND(S$8&lt;=$H11,S$8+6&gt;=$G11),1,"")</f>
        <v/>
      </c>
      <c r="T11" s="6" t="str">
        <f t="shared" si="1"/>
        <v/>
      </c>
      <c r="U11" s="6" t="str">
        <f t="shared" si="1"/>
        <v/>
      </c>
      <c r="V11" s="6" t="str">
        <f t="shared" si="1"/>
        <v/>
      </c>
      <c r="W11" s="6" t="str">
        <f t="shared" si="1"/>
        <v/>
      </c>
      <c r="X11" s="6" t="str">
        <f t="shared" si="1"/>
        <v/>
      </c>
      <c r="Y11" s="6" t="str">
        <f t="shared" si="1"/>
        <v/>
      </c>
      <c r="Z11" s="6" t="str">
        <f t="shared" si="1"/>
        <v/>
      </c>
    </row>
    <row r="12" spans="2:26" ht="44" customHeight="1" x14ac:dyDescent="0.15">
      <c r="B12" s="15" t="s">
        <v>26</v>
      </c>
      <c r="C12" s="13" t="s">
        <v>27</v>
      </c>
      <c r="D12" s="3" t="s">
        <v>38</v>
      </c>
      <c r="E12" s="3" t="s">
        <v>44</v>
      </c>
      <c r="F12" s="3"/>
      <c r="G12" s="39">
        <v>46304</v>
      </c>
      <c r="H12" s="40">
        <v>46305</v>
      </c>
      <c r="I12" s="4">
        <f t="shared" si="0"/>
        <v>2</v>
      </c>
      <c r="J12" s="8"/>
      <c r="K12" s="5"/>
      <c r="L12" s="6"/>
      <c r="M12" s="5">
        <f>IF(AND(M$8&lt;=$H12,M$8+6&gt;=$G12),1,"")</f>
        <v>1</v>
      </c>
      <c r="N12" s="6">
        <f>IF(AND(N$8&lt;=$H12,N$8+6&gt;=$G12),1,"")</f>
        <v>1</v>
      </c>
      <c r="O12" s="5" t="str">
        <f>IF(AND(O$8&lt;=$H12,O$8+6&gt;=$G12),1,"")</f>
        <v/>
      </c>
      <c r="P12" s="6" t="str">
        <f>IF(AND(P$8&lt;=$H12,P$8+6&gt;=$G12),1,"")</f>
        <v/>
      </c>
      <c r="Q12" s="5" t="str">
        <f>IF(AND(Q$8&lt;=$H12,Q$8+6&gt;=$G12),1,"")</f>
        <v/>
      </c>
      <c r="R12" s="6" t="str">
        <f>IF(AND(R$8&lt;=$H12,R$8+6&gt;=$G12),1,"")</f>
        <v/>
      </c>
      <c r="S12" s="6" t="str">
        <f>IF(AND(S$8&lt;=$H12,S$8+6&gt;=$G12),1,"")</f>
        <v/>
      </c>
      <c r="T12" s="6" t="str">
        <f t="shared" si="1"/>
        <v/>
      </c>
      <c r="U12" s="6" t="str">
        <f t="shared" si="1"/>
        <v/>
      </c>
      <c r="V12" s="6" t="str">
        <f t="shared" si="1"/>
        <v/>
      </c>
      <c r="W12" s="6" t="str">
        <f t="shared" si="1"/>
        <v/>
      </c>
      <c r="X12" s="6" t="str">
        <f t="shared" si="1"/>
        <v/>
      </c>
      <c r="Y12" s="6" t="str">
        <f t="shared" si="1"/>
        <v/>
      </c>
      <c r="Z12" s="6" t="str">
        <f t="shared" si="1"/>
        <v/>
      </c>
    </row>
    <row r="13" spans="2:26" ht="44" customHeight="1" x14ac:dyDescent="0.15">
      <c r="B13" s="14" t="s">
        <v>28</v>
      </c>
      <c r="C13" s="12" t="s">
        <v>29</v>
      </c>
      <c r="D13" s="2" t="s">
        <v>38</v>
      </c>
      <c r="E13" s="2" t="s">
        <v>44</v>
      </c>
      <c r="F13" s="2"/>
      <c r="G13" s="39">
        <v>46304</v>
      </c>
      <c r="H13" s="40">
        <v>46305</v>
      </c>
      <c r="I13" s="4">
        <f t="shared" si="0"/>
        <v>2</v>
      </c>
      <c r="J13" s="8"/>
      <c r="K13" s="5"/>
      <c r="L13" s="6"/>
      <c r="M13" s="5">
        <f>IF(AND(M$8&lt;=$H13,M$8+6&gt;=$G13),1,"")</f>
        <v>1</v>
      </c>
      <c r="N13" s="6">
        <f>IF(AND(N$8&lt;=$H13,N$8+6&gt;=$G13),1,"")</f>
        <v>1</v>
      </c>
      <c r="O13" s="5" t="str">
        <f>IF(AND(O$8&lt;=$H13,O$8+6&gt;=$G13),1,"")</f>
        <v/>
      </c>
      <c r="P13" s="6" t="str">
        <f>IF(AND(P$8&lt;=$H13,P$8+6&gt;=$G13),1,"")</f>
        <v/>
      </c>
      <c r="Q13" s="5" t="str">
        <f>IF(AND(Q$8&lt;=$H13,Q$8+6&gt;=$G13),1,"")</f>
        <v/>
      </c>
      <c r="R13" s="6" t="str">
        <f>IF(AND(R$8&lt;=$H13,R$8+6&gt;=$G13),1,"")</f>
        <v/>
      </c>
      <c r="S13" s="6" t="str">
        <f>IF(AND(S$8&lt;=$H13,S$8+6&gt;=$G13),1,"")</f>
        <v/>
      </c>
      <c r="T13" s="6" t="str">
        <f t="shared" si="1"/>
        <v/>
      </c>
      <c r="U13" s="6" t="str">
        <f t="shared" si="1"/>
        <v/>
      </c>
      <c r="V13" s="6" t="str">
        <f t="shared" si="1"/>
        <v/>
      </c>
      <c r="W13" s="6" t="str">
        <f t="shared" si="1"/>
        <v/>
      </c>
      <c r="X13" s="6" t="str">
        <f t="shared" si="1"/>
        <v/>
      </c>
      <c r="Y13" s="6" t="str">
        <f t="shared" si="1"/>
        <v/>
      </c>
      <c r="Z13" s="6" t="str">
        <f t="shared" si="1"/>
        <v/>
      </c>
    </row>
    <row r="14" spans="2:26" ht="44" customHeight="1" x14ac:dyDescent="0.15">
      <c r="B14" s="15" t="s">
        <v>30</v>
      </c>
      <c r="C14" s="13" t="s">
        <v>31</v>
      </c>
      <c r="D14" s="3" t="s">
        <v>38</v>
      </c>
      <c r="E14" s="3" t="s">
        <v>44</v>
      </c>
      <c r="F14" s="3"/>
      <c r="G14" s="39">
        <v>46304</v>
      </c>
      <c r="H14" s="40">
        <v>46305</v>
      </c>
      <c r="I14" s="4">
        <f t="shared" si="0"/>
        <v>2</v>
      </c>
      <c r="J14" s="8"/>
      <c r="K14" s="5"/>
      <c r="L14" s="6"/>
      <c r="M14" s="5">
        <f>IF(AND(M$8&lt;=$H14,M$8+6&gt;=$G14),1,"")</f>
        <v>1</v>
      </c>
      <c r="N14" s="6">
        <f>IF(AND(N$8&lt;=$H14,N$8+6&gt;=$G14),1,"")</f>
        <v>1</v>
      </c>
      <c r="O14" s="5" t="str">
        <f>IF(AND(O$8&lt;=$H14,O$8+6&gt;=$G14),1,"")</f>
        <v/>
      </c>
      <c r="P14" s="6" t="str">
        <f>IF(AND(P$8&lt;=$H14,P$8+6&gt;=$G14),1,"")</f>
        <v/>
      </c>
      <c r="Q14" s="5" t="str">
        <f>IF(AND(Q$8&lt;=$H14,Q$8+6&gt;=$G14),1,"")</f>
        <v/>
      </c>
      <c r="R14" s="6" t="str">
        <f>IF(AND(R$8&lt;=$H14,R$8+6&gt;=$G14),1,"")</f>
        <v/>
      </c>
      <c r="S14" s="6" t="str">
        <f>IF(AND(S$8&lt;=$H14,S$8+6&gt;=$G14),1,"")</f>
        <v/>
      </c>
      <c r="T14" s="6" t="str">
        <f t="shared" si="1"/>
        <v/>
      </c>
      <c r="U14" s="6" t="str">
        <f t="shared" si="1"/>
        <v/>
      </c>
      <c r="V14" s="6" t="str">
        <f t="shared" si="1"/>
        <v/>
      </c>
      <c r="W14" s="6" t="str">
        <f t="shared" si="1"/>
        <v/>
      </c>
      <c r="X14" s="6" t="str">
        <f t="shared" si="1"/>
        <v/>
      </c>
      <c r="Y14" s="6" t="str">
        <f t="shared" si="1"/>
        <v/>
      </c>
      <c r="Z14" s="6" t="str">
        <f t="shared" si="1"/>
        <v/>
      </c>
    </row>
    <row r="15" spans="2:26" ht="44" customHeight="1" x14ac:dyDescent="0.15">
      <c r="B15" s="15" t="s">
        <v>45</v>
      </c>
      <c r="C15" s="13" t="s">
        <v>48</v>
      </c>
      <c r="D15" s="3" t="s">
        <v>38</v>
      </c>
      <c r="E15" s="3" t="s">
        <v>22</v>
      </c>
      <c r="F15" s="3"/>
      <c r="G15" s="39">
        <v>46305</v>
      </c>
      <c r="H15" s="40">
        <v>46305</v>
      </c>
      <c r="I15" s="4">
        <f t="shared" ref="I15:I17" si="2">H15-G15+1</f>
        <v>1</v>
      </c>
      <c r="J15" s="8"/>
      <c r="K15" s="5"/>
      <c r="L15" s="6"/>
      <c r="M15" s="5"/>
      <c r="N15" s="6">
        <f>IF(AND(N$8&lt;=$H15,N$8+6&gt;=$G15),1,"")</f>
        <v>1</v>
      </c>
      <c r="O15" s="5" t="str">
        <f>IF(AND(O$8&lt;=$H15,O$8+6&gt;=$G15),1,"")</f>
        <v/>
      </c>
      <c r="P15" s="6" t="str">
        <f>IF(AND(P$8&lt;=$H15,P$8+6&gt;=$G15),1,"")</f>
        <v/>
      </c>
      <c r="Q15" s="5" t="str">
        <f>IF(AND(Q$8&lt;=$H15,Q$8+6&gt;=$G15),1,"")</f>
        <v/>
      </c>
      <c r="R15" s="6" t="str">
        <f>IF(AND(R$8&lt;=$H15,R$8+6&gt;=$G15),1,"")</f>
        <v/>
      </c>
      <c r="S15" s="6" t="str">
        <f>IF(AND(S$8&lt;=$H15,S$8+6&gt;=$G15),1,"")</f>
        <v/>
      </c>
      <c r="T15" s="6" t="str">
        <f>IF(AND(T$8&lt;=$H15,T$8+6&gt;=$G15),1,"")</f>
        <v/>
      </c>
      <c r="U15" s="6" t="str">
        <f>IF(AND(U$8&lt;=$H15,U$8+6&gt;=$G15),1,"")</f>
        <v/>
      </c>
      <c r="V15" s="6" t="str">
        <f>IF(AND(V$8&lt;=$H15,V$8+6&gt;=$G15),1,"")</f>
        <v/>
      </c>
      <c r="W15" s="6" t="str">
        <f>IF(AND(W$8&lt;=$H15,W$8+6&gt;=$G15),1,"")</f>
        <v/>
      </c>
      <c r="X15" s="6" t="str">
        <f>IF(AND(X$8&lt;=$H15,X$8+6&gt;=$G15),1,"")</f>
        <v/>
      </c>
      <c r="Y15" s="6" t="str">
        <f>IF(AND(Y$8&lt;=$H15,Y$8+6&gt;=$G15),1,"")</f>
        <v/>
      </c>
      <c r="Z15" s="6" t="str">
        <f>IF(AND(Z$8&lt;=$H15,Z$8+6&gt;=$G15),1,"")</f>
        <v/>
      </c>
    </row>
    <row r="16" spans="2:26" ht="44" customHeight="1" x14ac:dyDescent="0.15">
      <c r="B16" s="15" t="s">
        <v>46</v>
      </c>
      <c r="C16" s="13" t="s">
        <v>49</v>
      </c>
      <c r="D16" s="3" t="s">
        <v>38</v>
      </c>
      <c r="E16" s="3" t="s">
        <v>22</v>
      </c>
      <c r="F16" s="3"/>
      <c r="G16" s="39">
        <v>46306</v>
      </c>
      <c r="H16" s="39">
        <v>46306</v>
      </c>
      <c r="I16" s="4">
        <f t="shared" si="2"/>
        <v>1</v>
      </c>
      <c r="J16" s="8"/>
      <c r="K16" s="5"/>
      <c r="L16" s="6"/>
      <c r="M16" s="5"/>
      <c r="N16" s="6"/>
      <c r="O16" s="5">
        <f>IF(AND(O$8&lt;=$H16,O$8+6&gt;=$G16),1,"")</f>
        <v>1</v>
      </c>
      <c r="P16" s="6" t="str">
        <f>IF(AND(P$8&lt;=$H16,P$8+6&gt;=$G16),1,"")</f>
        <v/>
      </c>
      <c r="Q16" s="5" t="str">
        <f>IF(AND(Q$8&lt;=$H16,Q$8+6&gt;=$G16),1,"")</f>
        <v/>
      </c>
      <c r="R16" s="6" t="str">
        <f>IF(AND(R$8&lt;=$H16,R$8+6&gt;=$G16),1,"")</f>
        <v/>
      </c>
      <c r="S16" s="6" t="str">
        <f>IF(AND(S$8&lt;=$H16,S$8+6&gt;=$G16),1,"")</f>
        <v/>
      </c>
      <c r="T16" s="6" t="str">
        <f>IF(AND(T$8&lt;=$H16,T$8+6&gt;=$G16),1,"")</f>
        <v/>
      </c>
      <c r="U16" s="6" t="str">
        <f>IF(AND(U$8&lt;=$H16,U$8+6&gt;=$G16),1,"")</f>
        <v/>
      </c>
      <c r="V16" s="6" t="str">
        <f>IF(AND(V$8&lt;=$H16,V$8+6&gt;=$G16),1,"")</f>
        <v/>
      </c>
      <c r="W16" s="6" t="str">
        <f>IF(AND(W$8&lt;=$H16,W$8+6&gt;=$G16),1,"")</f>
        <v/>
      </c>
      <c r="X16" s="6" t="str">
        <f>IF(AND(X$8&lt;=$H16,X$8+6&gt;=$G16),1,"")</f>
        <v/>
      </c>
      <c r="Y16" s="6" t="str">
        <f>IF(AND(Y$8&lt;=$H16,Y$8+6&gt;=$G16),1,"")</f>
        <v/>
      </c>
      <c r="Z16" s="6" t="str">
        <f>IF(AND(Z$8&lt;=$H16,Z$8+6&gt;=$G16),1,"")</f>
        <v/>
      </c>
    </row>
    <row r="17" spans="2:26" ht="44" customHeight="1" x14ac:dyDescent="0.15">
      <c r="B17" s="15" t="s">
        <v>47</v>
      </c>
      <c r="C17" s="13" t="s">
        <v>50</v>
      </c>
      <c r="D17" s="3" t="s">
        <v>38</v>
      </c>
      <c r="E17" s="3" t="s">
        <v>22</v>
      </c>
      <c r="F17" s="3"/>
      <c r="G17" s="39">
        <v>46307</v>
      </c>
      <c r="H17" s="39">
        <v>46308</v>
      </c>
      <c r="I17" s="4">
        <f t="shared" si="2"/>
        <v>2</v>
      </c>
      <c r="J17" s="8"/>
      <c r="K17" s="5"/>
      <c r="L17" s="6"/>
      <c r="M17" s="5"/>
      <c r="N17" s="6"/>
      <c r="O17" s="5"/>
      <c r="P17" s="6">
        <f>IF(AND(P$8&lt;=$H17,P$8+6&gt;=$G17),1,"")</f>
        <v>1</v>
      </c>
      <c r="Q17" s="5">
        <f>IF(AND(Q$8&lt;=$H17,Q$8+6&gt;=$G17),1,"")</f>
        <v>1</v>
      </c>
      <c r="R17" s="6" t="str">
        <f>IF(AND(R$8&lt;=$H17,R$8+6&gt;=$G17),1,"")</f>
        <v/>
      </c>
      <c r="S17" s="6" t="str">
        <f>IF(AND(S$8&lt;=$H17,S$8+6&gt;=$G17),1,"")</f>
        <v/>
      </c>
      <c r="T17" s="6" t="str">
        <f>IF(AND(T$8&lt;=$H17,T$8+6&gt;=$G17),1,"")</f>
        <v/>
      </c>
      <c r="U17" s="6" t="str">
        <f>IF(AND(U$8&lt;=$H17,U$8+6&gt;=$G17),1,"")</f>
        <v/>
      </c>
      <c r="V17" s="6" t="str">
        <f>IF(AND(V$8&lt;=$H17,V$8+6&gt;=$G17),1,"")</f>
        <v/>
      </c>
      <c r="W17" s="6" t="str">
        <f>IF(AND(W$8&lt;=$H17,W$8+6&gt;=$G17),1,"")</f>
        <v/>
      </c>
      <c r="X17" s="6" t="str">
        <f>IF(AND(X$8&lt;=$H17,X$8+6&gt;=$G17),1,"")</f>
        <v/>
      </c>
      <c r="Y17" s="6" t="str">
        <f>IF(AND(Y$8&lt;=$H17,Y$8+6&gt;=$G17),1,"")</f>
        <v/>
      </c>
      <c r="Z17" s="6" t="str">
        <f>IF(AND(Z$8&lt;=$H17,Z$8+6&gt;=$G17),1,"")</f>
        <v/>
      </c>
    </row>
    <row r="18" spans="2:26" ht="44" customHeight="1" x14ac:dyDescent="0.15">
      <c r="B18" s="15" t="s">
        <v>51</v>
      </c>
      <c r="C18" s="13" t="s">
        <v>52</v>
      </c>
      <c r="D18" s="3" t="s">
        <v>38</v>
      </c>
      <c r="E18" s="3" t="s">
        <v>22</v>
      </c>
      <c r="F18" s="3"/>
      <c r="G18" s="39">
        <v>46307</v>
      </c>
      <c r="H18" s="40">
        <v>46309</v>
      </c>
      <c r="I18" s="4">
        <f t="shared" ref="I18" si="3">H18-G18+1</f>
        <v>3</v>
      </c>
      <c r="J18" s="8"/>
      <c r="K18" s="5"/>
      <c r="L18" s="6"/>
      <c r="M18" s="5"/>
      <c r="N18" s="6"/>
      <c r="O18" s="5"/>
      <c r="P18" s="6">
        <f>IF(AND(P$8&lt;=$H18,P$8+6&gt;=$G18),1,"")</f>
        <v>1</v>
      </c>
      <c r="Q18" s="5">
        <f>IF(AND(Q$8&lt;=$H18,Q$8+6&gt;=$G18),1,"")</f>
        <v>1</v>
      </c>
      <c r="R18" s="6">
        <f>IF(AND(R$8&lt;=$H18,R$8+6&gt;=$G18),1,"")</f>
        <v>1</v>
      </c>
      <c r="S18" s="6" t="str">
        <f>IF(AND(S$8&lt;=$H18,S$8+6&gt;=$G18),1,"")</f>
        <v/>
      </c>
      <c r="T18" s="6" t="str">
        <f>IF(AND(T$8&lt;=$H18,T$8+6&gt;=$G18),1,"")</f>
        <v/>
      </c>
      <c r="U18" s="6" t="str">
        <f>IF(AND(U$8&lt;=$H18,U$8+6&gt;=$G18),1,"")</f>
        <v/>
      </c>
      <c r="V18" s="6" t="str">
        <f>IF(AND(V$8&lt;=$H18,V$8+6&gt;=$G18),1,"")</f>
        <v/>
      </c>
      <c r="W18" s="6" t="str">
        <f>IF(AND(W$8&lt;=$H18,W$8+6&gt;=$G18),1,"")</f>
        <v/>
      </c>
      <c r="X18" s="6" t="str">
        <f>IF(AND(X$8&lt;=$H18,X$8+6&gt;=$G18),1,"")</f>
        <v/>
      </c>
      <c r="Y18" s="6" t="str">
        <f>IF(AND(Y$8&lt;=$H18,Y$8+6&gt;=$G18),1,"")</f>
        <v/>
      </c>
      <c r="Z18" s="6" t="str">
        <f>IF(AND(Z$8&lt;=$H18,Z$8+6&gt;=$G18),1,"")</f>
        <v/>
      </c>
    </row>
    <row r="19" spans="2:26" ht="44" customHeight="1" x14ac:dyDescent="0.15">
      <c r="B19" s="15" t="s">
        <v>53</v>
      </c>
      <c r="C19" s="13" t="s">
        <v>54</v>
      </c>
      <c r="D19" s="3" t="s">
        <v>38</v>
      </c>
      <c r="E19" s="3" t="s">
        <v>22</v>
      </c>
      <c r="F19" s="3"/>
      <c r="G19" s="40">
        <v>46309</v>
      </c>
      <c r="H19" s="40">
        <v>46310</v>
      </c>
      <c r="I19" s="4">
        <f t="shared" ref="I19" si="4">H19-G19+1</f>
        <v>2</v>
      </c>
      <c r="J19" s="8"/>
      <c r="K19" s="5"/>
      <c r="L19" s="6"/>
      <c r="M19" s="5"/>
      <c r="N19" s="6"/>
      <c r="O19" s="5"/>
      <c r="P19" s="6"/>
      <c r="Q19" s="5"/>
      <c r="R19" s="6">
        <f>IF(AND(R$8&lt;=$H19,R$8+6&gt;=$G19),1,"")</f>
        <v>1</v>
      </c>
      <c r="S19" s="6">
        <f>IF(AND(S$8&lt;=$H19,S$8+6&gt;=$G19),1,"")</f>
        <v>1</v>
      </c>
      <c r="T19" s="6" t="str">
        <f>IF(AND(T$8&lt;=$H19,T$8+6&gt;=$G19),1,"")</f>
        <v/>
      </c>
      <c r="U19" s="6" t="str">
        <f>IF(AND(U$8&lt;=$H19,U$8+6&gt;=$G19),1,"")</f>
        <v/>
      </c>
      <c r="V19" s="6" t="str">
        <f>IF(AND(V$8&lt;=$H19,V$8+6&gt;=$G19),1,"")</f>
        <v/>
      </c>
      <c r="W19" s="6" t="str">
        <f>IF(AND(W$8&lt;=$H19,W$8+6&gt;=$G19),1,"")</f>
        <v/>
      </c>
      <c r="X19" s="6" t="str">
        <f>IF(AND(X$8&lt;=$H19,X$8+6&gt;=$G19),1,"")</f>
        <v/>
      </c>
      <c r="Y19" s="6" t="str">
        <f>IF(AND(Y$8&lt;=$H19,Y$8+6&gt;=$G19),1,"")</f>
        <v/>
      </c>
      <c r="Z19" s="6" t="str">
        <f>IF(AND(Z$8&lt;=$H19,Z$8+6&gt;=$G19),1,"")</f>
        <v/>
      </c>
    </row>
    <row r="20" spans="2:26" ht="42" customHeight="1" x14ac:dyDescent="0.1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2:26" ht="42" customHeight="1" x14ac:dyDescent="0.1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2:26" ht="42" customHeight="1" x14ac:dyDescent="0.1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2:26" ht="42" customHeight="1" x14ac:dyDescent="0.1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2:26" ht="42" customHeight="1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2:26" ht="42" customHeight="1" x14ac:dyDescent="0.1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2:26" ht="42" customHeight="1" x14ac:dyDescent="0.1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2:26" ht="42" customHeight="1" x14ac:dyDescent="0.1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2:26" ht="42" customHeight="1" x14ac:dyDescent="0.1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2:26" ht="42" customHeight="1" x14ac:dyDescent="0.1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2:26" ht="42" customHeight="1" x14ac:dyDescent="0.1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2:26" ht="42" customHeight="1" x14ac:dyDescent="0.1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2:26" ht="42" customHeight="1" x14ac:dyDescent="0.1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2:26" ht="42" customHeight="1" x14ac:dyDescent="0.1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2:26" ht="42" customHeight="1" x14ac:dyDescent="0.1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2:26" ht="42" customHeight="1" x14ac:dyDescent="0.1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2:26" ht="42" customHeight="1" x14ac:dyDescent="0.1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2:26" ht="42" customHeight="1" x14ac:dyDescent="0.1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2:26" ht="42" customHeight="1" x14ac:dyDescent="0.1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2:26" x14ac:dyDescent="0.1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2:26" ht="28" customHeight="1" x14ac:dyDescent="0.1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2:26" ht="28" customHeight="1" x14ac:dyDescent="0.1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2:26" x14ac:dyDescent="0.15">
      <c r="B42"/>
    </row>
    <row r="43" spans="2:26" ht="36" customHeight="1" x14ac:dyDescent="0.15">
      <c r="B43"/>
      <c r="C43"/>
      <c r="D43"/>
      <c r="E43"/>
    </row>
    <row r="44" spans="2:26" ht="76" customHeight="1" x14ac:dyDescent="0.15">
      <c r="B44"/>
      <c r="C44"/>
      <c r="D44"/>
      <c r="E44"/>
    </row>
    <row r="45" spans="2:26" ht="76" customHeight="1" x14ac:dyDescent="0.15">
      <c r="B45"/>
      <c r="C45"/>
      <c r="D45"/>
      <c r="E45"/>
    </row>
    <row r="46" spans="2:26" ht="76" customHeight="1" x14ac:dyDescent="0.15">
      <c r="B46"/>
      <c r="C46"/>
      <c r="D46"/>
      <c r="E46"/>
    </row>
    <row r="47" spans="2:26" ht="76" customHeight="1" x14ac:dyDescent="0.15">
      <c r="B47"/>
      <c r="C47"/>
      <c r="D47"/>
      <c r="E47"/>
    </row>
    <row r="48" spans="2:26" ht="76" customHeight="1" x14ac:dyDescent="0.15">
      <c r="B48"/>
      <c r="C48"/>
      <c r="D48"/>
      <c r="E48"/>
    </row>
    <row r="49" spans="2:5" ht="76" customHeight="1" x14ac:dyDescent="0.15">
      <c r="B49"/>
      <c r="C49"/>
      <c r="D49"/>
      <c r="E49"/>
    </row>
    <row r="50" spans="2:5" ht="76" customHeight="1" x14ac:dyDescent="0.15">
      <c r="B50"/>
      <c r="C50"/>
      <c r="D50"/>
      <c r="E50"/>
    </row>
    <row r="51" spans="2:5" ht="76" customHeight="1" x14ac:dyDescent="0.15">
      <c r="B51"/>
      <c r="C51"/>
      <c r="D51"/>
      <c r="E51"/>
    </row>
    <row r="52" spans="2:5" ht="76" customHeight="1" x14ac:dyDescent="0.15">
      <c r="B52"/>
      <c r="C52"/>
      <c r="D52"/>
      <c r="E52"/>
    </row>
    <row r="53" spans="2:5" ht="76" customHeight="1" x14ac:dyDescent="0.15">
      <c r="B53"/>
      <c r="C53"/>
      <c r="D53"/>
      <c r="E53"/>
    </row>
    <row r="54" spans="2:5" ht="76" customHeight="1" x14ac:dyDescent="0.15">
      <c r="B54"/>
      <c r="C54"/>
      <c r="D54"/>
      <c r="E54"/>
    </row>
    <row r="55" spans="2:5" ht="76" customHeight="1" x14ac:dyDescent="0.15">
      <c r="B55"/>
      <c r="C55"/>
      <c r="D55"/>
      <c r="E55"/>
    </row>
    <row r="56" spans="2:5" ht="76" customHeight="1" x14ac:dyDescent="0.15">
      <c r="B56"/>
      <c r="C56"/>
      <c r="D56"/>
      <c r="E56"/>
    </row>
    <row r="57" spans="2:5" ht="76" customHeight="1" x14ac:dyDescent="0.15">
      <c r="B57"/>
      <c r="C57"/>
      <c r="D57"/>
      <c r="E57"/>
    </row>
    <row r="58" spans="2:5" ht="76" customHeight="1" x14ac:dyDescent="0.15">
      <c r="B58"/>
      <c r="C58"/>
      <c r="D58"/>
      <c r="E58"/>
    </row>
    <row r="59" spans="2:5" ht="76" customHeight="1" x14ac:dyDescent="0.15">
      <c r="B59"/>
      <c r="C59"/>
      <c r="D59"/>
      <c r="E59"/>
    </row>
    <row r="60" spans="2:5" ht="76" customHeight="1" x14ac:dyDescent="0.15">
      <c r="B60"/>
      <c r="C60"/>
      <c r="D60"/>
      <c r="E60"/>
    </row>
    <row r="61" spans="2:5" ht="76" customHeight="1" x14ac:dyDescent="0.15">
      <c r="B61"/>
      <c r="C61"/>
      <c r="D61"/>
      <c r="E61"/>
    </row>
    <row r="62" spans="2:5" ht="76" customHeight="1" x14ac:dyDescent="0.15">
      <c r="B62"/>
      <c r="C62"/>
      <c r="D62"/>
      <c r="E62"/>
    </row>
    <row r="63" spans="2:5" ht="76" customHeight="1" x14ac:dyDescent="0.15">
      <c r="B63"/>
      <c r="C63"/>
      <c r="D63"/>
      <c r="E63"/>
    </row>
    <row r="64" spans="2:5" ht="76" customHeight="1" x14ac:dyDescent="0.15">
      <c r="B64"/>
      <c r="C64"/>
      <c r="D64"/>
      <c r="E64"/>
    </row>
    <row r="65" spans="2:5" ht="76" customHeight="1" x14ac:dyDescent="0.15">
      <c r="B65"/>
      <c r="C65"/>
      <c r="D65"/>
      <c r="E65"/>
    </row>
    <row r="66" spans="2:5" ht="76" customHeight="1" x14ac:dyDescent="0.15">
      <c r="B66"/>
      <c r="C66"/>
      <c r="D66"/>
      <c r="E66"/>
    </row>
    <row r="67" spans="2:5" ht="76" customHeight="1" x14ac:dyDescent="0.15">
      <c r="B67"/>
      <c r="C67"/>
      <c r="D67"/>
      <c r="E67"/>
    </row>
    <row r="68" spans="2:5" ht="76" customHeight="1" x14ac:dyDescent="0.15">
      <c r="B68"/>
      <c r="C68"/>
      <c r="D68"/>
      <c r="E68"/>
    </row>
    <row r="69" spans="2:5" ht="76" customHeight="1" x14ac:dyDescent="0.15">
      <c r="B69"/>
      <c r="C69"/>
      <c r="D69"/>
      <c r="E69"/>
    </row>
    <row r="70" spans="2:5" ht="76" customHeight="1" x14ac:dyDescent="0.15">
      <c r="B70"/>
      <c r="C70"/>
      <c r="D70"/>
      <c r="E70"/>
    </row>
    <row r="71" spans="2:5" ht="76" customHeight="1" x14ac:dyDescent="0.15">
      <c r="B71"/>
      <c r="C71"/>
      <c r="D71"/>
      <c r="E71"/>
    </row>
    <row r="72" spans="2:5" ht="76" customHeight="1" x14ac:dyDescent="0.15">
      <c r="B72"/>
      <c r="C72"/>
      <c r="D72"/>
      <c r="E72"/>
    </row>
    <row r="73" spans="2:5" ht="76" customHeight="1" x14ac:dyDescent="0.15">
      <c r="B73"/>
      <c r="C73"/>
      <c r="D73"/>
      <c r="E73"/>
    </row>
  </sheetData>
  <mergeCells count="18">
    <mergeCell ref="B3:I3"/>
    <mergeCell ref="K3:Z3"/>
    <mergeCell ref="C4:E4"/>
    <mergeCell ref="H4:I4"/>
    <mergeCell ref="S4:V4"/>
    <mergeCell ref="F4:G4"/>
    <mergeCell ref="B7:I7"/>
    <mergeCell ref="K7:Z7"/>
    <mergeCell ref="S5:V5"/>
    <mergeCell ref="W4:Z4"/>
    <mergeCell ref="W5:Z5"/>
    <mergeCell ref="C5:E5"/>
    <mergeCell ref="H5:I5"/>
    <mergeCell ref="K4:N4"/>
    <mergeCell ref="K5:N5"/>
    <mergeCell ref="O4:R4"/>
    <mergeCell ref="O5:R5"/>
    <mergeCell ref="F5:G5"/>
  </mergeCells>
  <conditionalFormatting sqref="E9:E38">
    <cfRule type="expression" dxfId="10" priority="12">
      <formula>E9="Belum mulai"</formula>
    </cfRule>
    <cfRule type="expression" dxfId="9" priority="13">
      <formula>E9="Berjalan"</formula>
    </cfRule>
    <cfRule type="expression" dxfId="8" priority="14">
      <formula>E9="Selesai"</formula>
    </cfRule>
    <cfRule type="expression" dxfId="7" priority="15">
      <formula>E9="Terhambat"</formula>
    </cfRule>
  </conditionalFormatting>
  <conditionalFormatting sqref="F9:F38">
    <cfRule type="expression" dxfId="6" priority="5">
      <formula>$F9="P0"</formula>
    </cfRule>
    <cfRule type="expression" dxfId="5" priority="6">
      <formula>$F9="P1"</formula>
    </cfRule>
    <cfRule type="expression" dxfId="4" priority="7">
      <formula>$F9="P2"</formula>
    </cfRule>
  </conditionalFormatting>
  <conditionalFormatting sqref="K9:Z38">
    <cfRule type="expression" dxfId="3" priority="8">
      <formula>AND(K9=1,$E9="Belum mulai")</formula>
    </cfRule>
    <cfRule type="expression" dxfId="2" priority="9">
      <formula>AND(K9=1,$E9="Berjalan")</formula>
    </cfRule>
    <cfRule type="expression" dxfId="1" priority="10">
      <formula>AND(K9=1,$E9="Selesai")</formula>
    </cfRule>
    <cfRule type="expression" dxfId="0" priority="11">
      <formula>AND(K9=1,$E9="Terhambat")</formula>
    </cfRule>
  </conditionalFormatting>
  <dataValidations count="6">
    <dataValidation type="list" sqref="B9:B38" xr:uid="{00000000-0002-0000-0000-000000000000}">
      <formula1>"Product,Engineering,Design,Growth,Support &amp; Ops,Legal &amp; Security"</formula1>
    </dataValidation>
    <dataValidation type="list" sqref="D9:D10 D20:D38" xr:uid="{00000000-0002-0000-0000-000001000000}">
      <formula1>"Pak Agung,"</formula1>
    </dataValidation>
    <dataValidation type="list" sqref="E9:E38" xr:uid="{00000000-0002-0000-0000-000002000000}">
      <formula1>"Belum mulai,Berjalan,Selesai,Terhambat"</formula1>
    </dataValidation>
    <dataValidation type="list" sqref="F20:F38" xr:uid="{00000000-0002-0000-0000-000003000000}">
      <formula1>"P0,P1,P2"</formula1>
    </dataValidation>
    <dataValidation sqref="F9:F19" xr:uid="{16AFAD55-A31A-554B-BED0-41085A3D3D53}"/>
    <dataValidation type="list" sqref="D11:D19" xr:uid="{B3B7CE52-F3D4-7B40-9F23-F29324DDA3E9}">
      <formula1>"Pak Agung, 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Wahyu Adi Nugroho</cp:lastModifiedBy>
  <dcterms:modified xsi:type="dcterms:W3CDTF">2026-10-10T02:03:30Z</dcterms:modified>
</cp:coreProperties>
</file>